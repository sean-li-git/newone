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薪酬信息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2" customWidth="1" min="5" max="5"/>
    <col width="14" customWidth="1" min="6" max="6"/>
    <col width="18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2" customWidth="1" min="13" max="13"/>
    <col width="14" customWidth="1" min="14" max="14"/>
    <col width="14" customWidth="1" min="15" max="15"/>
    <col width="18" customWidth="1" min="16" max="16"/>
  </cols>
  <sheetData>
    <row r="1">
      <c r="A1" s="1" t="inlineStr">
        <is>
          <t>币种</t>
        </is>
      </c>
      <c r="B1" s="1" t="inlineStr">
        <is>
          <t>国家/城市</t>
        </is>
      </c>
      <c r="C1" s="1" t="inlineStr">
        <is>
          <t>职级</t>
        </is>
      </c>
      <c r="D1" s="1" t="inlineStr">
        <is>
          <t>职位通道</t>
        </is>
      </c>
      <c r="E1" s="1" t="inlineStr">
        <is>
          <t>职位类型</t>
        </is>
      </c>
      <c r="F1" s="1" t="inlineStr">
        <is>
          <t>基本月薪</t>
        </is>
      </c>
      <c r="G1" s="1" t="inlineStr">
        <is>
          <t>津贴及其他现金补贴</t>
        </is>
      </c>
      <c r="H1" s="1" t="inlineStr">
        <is>
          <t>绩效（月均）</t>
        </is>
      </c>
      <c r="I1" s="1" t="inlineStr">
        <is>
          <t>年终奖</t>
        </is>
      </c>
      <c r="J1" s="1" t="inlineStr">
        <is>
          <t>入职授予（年化）</t>
        </is>
      </c>
      <c r="K1" s="1" t="inlineStr">
        <is>
          <t>签字股票总额</t>
        </is>
      </c>
      <c r="L1" s="1" t="inlineStr">
        <is>
          <t>签字费总额</t>
        </is>
      </c>
      <c r="M1" s="1" t="inlineStr">
        <is>
          <t>安家费</t>
        </is>
      </c>
      <c r="N1" s="1" t="inlineStr">
        <is>
          <t>现金收入</t>
        </is>
      </c>
      <c r="O1" s="1" t="inlineStr">
        <is>
          <t>年收入</t>
        </is>
      </c>
      <c r="P1" s="1" t="inlineStr">
        <is>
          <t>年收入（含一次性）</t>
        </is>
      </c>
    </row>
    <row r="2">
      <c r="A2" s="2" t="inlineStr">
        <is>
          <t>CNY</t>
        </is>
      </c>
      <c r="B2" s="2" t="inlineStr">
        <is>
          <t>中国-上海</t>
        </is>
      </c>
      <c r="C2" s="2" t="inlineStr">
        <is>
          <t>L7</t>
        </is>
      </c>
      <c r="D2" s="2" t="inlineStr">
        <is>
          <t>技术</t>
        </is>
      </c>
      <c r="E2" s="2" t="inlineStr">
        <is>
          <t>研发</t>
        </is>
      </c>
      <c r="F2" s="2" t="n">
        <v>50000</v>
      </c>
      <c r="G2" s="2" t="n">
        <v>2000</v>
      </c>
      <c r="H2" s="2" t="n">
        <v>5000</v>
      </c>
      <c r="I2" s="2" t="n">
        <v>80000</v>
      </c>
      <c r="J2" s="2" t="n">
        <v>100000</v>
      </c>
      <c r="K2" s="2" t="n">
        <v>200000</v>
      </c>
      <c r="L2" s="2" t="n">
        <v>100000</v>
      </c>
      <c r="M2" s="2" t="n">
        <v>30000</v>
      </c>
      <c r="N2" s="3">
        <f>F2*12+H2*12+I2+G2</f>
        <v/>
      </c>
      <c r="O2" s="3">
        <f>N2+J2</f>
        <v/>
      </c>
      <c r="P2" s="3">
        <f>O2+K2/2+L2/2+M2/2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</cols>
  <sheetData>
    <row r="1">
      <c r="A1" s="1" t="inlineStr">
        <is>
          <t>字段</t>
        </is>
      </c>
      <c r="B1" s="1" t="inlineStr">
        <is>
          <t>说明</t>
        </is>
      </c>
      <c r="C1" s="1" t="inlineStr">
        <is>
          <t>示例</t>
        </is>
      </c>
    </row>
    <row r="2">
      <c r="A2" t="inlineStr">
        <is>
          <t>币种</t>
        </is>
      </c>
      <c r="B2" t="inlineStr">
        <is>
          <t>薪酬币种代码</t>
        </is>
      </c>
      <c r="C2" t="inlineStr">
        <is>
          <t>CNY / USD / HKD</t>
        </is>
      </c>
    </row>
    <row r="3">
      <c r="A3" t="inlineStr">
        <is>
          <t>国家/城市</t>
        </is>
      </c>
      <c r="B3" t="inlineStr">
        <is>
          <t>工作地，格式：国家-城市</t>
        </is>
      </c>
      <c r="C3" t="inlineStr">
        <is>
          <t>中国-上海 / US-SF</t>
        </is>
      </c>
    </row>
    <row r="4">
      <c r="A4" t="inlineStr">
        <is>
          <t>职级</t>
        </is>
      </c>
      <c r="B4" t="inlineStr">
        <is>
          <t>公司内部职级</t>
        </is>
      </c>
      <c r="C4" t="inlineStr">
        <is>
          <t>L5 / L7 / M1</t>
        </is>
      </c>
    </row>
    <row r="5">
      <c r="A5" t="inlineStr">
        <is>
          <t>职位通道</t>
        </is>
      </c>
      <c r="B5" t="inlineStr">
        <is>
          <t>职位所属通道</t>
        </is>
      </c>
      <c r="C5" t="inlineStr">
        <is>
          <t>技术 / 产品 / 设计</t>
        </is>
      </c>
    </row>
    <row r="6">
      <c r="A6" t="inlineStr">
        <is>
          <t>职位类型</t>
        </is>
      </c>
      <c r="B6" t="inlineStr">
        <is>
          <t>职位族分类</t>
        </is>
      </c>
      <c r="C6" t="inlineStr">
        <is>
          <t>研发 / 运营 / 市场</t>
        </is>
      </c>
    </row>
    <row r="7">
      <c r="A7" t="inlineStr">
        <is>
          <t>基本月薪</t>
        </is>
      </c>
      <c r="B7" t="inlineStr">
        <is>
          <t>每月固定底薪</t>
        </is>
      </c>
      <c r="C7" t="inlineStr">
        <is>
          <t>50000</t>
        </is>
      </c>
    </row>
    <row r="8">
      <c r="A8" t="inlineStr">
        <is>
          <t>津贴及其他现金补贴</t>
        </is>
      </c>
      <c r="B8" t="inlineStr">
        <is>
          <t>月度/年度津贴补贴</t>
        </is>
      </c>
      <c r="C8" t="inlineStr">
        <is>
          <t>2000</t>
        </is>
      </c>
    </row>
    <row r="9">
      <c r="A9" t="inlineStr">
        <is>
          <t>绩效（月均）</t>
        </is>
      </c>
      <c r="B9" t="inlineStr">
        <is>
          <t>绩效奖金月均值</t>
        </is>
      </c>
      <c r="C9" t="inlineStr">
        <is>
          <t>5000</t>
        </is>
      </c>
    </row>
    <row r="10">
      <c r="A10" t="inlineStr">
        <is>
          <t>年终奖</t>
        </is>
      </c>
      <c r="B10" t="inlineStr">
        <is>
          <t>年度奖金（全额）</t>
        </is>
      </c>
      <c r="C10" t="inlineStr">
        <is>
          <t>80000</t>
        </is>
      </c>
    </row>
    <row r="11">
      <c r="A11" t="inlineStr">
        <is>
          <t>入职授予（年化）</t>
        </is>
      </c>
      <c r="B11" t="inlineStr">
        <is>
          <t>股票/期权年化价值</t>
        </is>
      </c>
      <c r="C11" t="inlineStr">
        <is>
          <t>100000</t>
        </is>
      </c>
    </row>
    <row r="12">
      <c r="A12" t="inlineStr">
        <is>
          <t>签字股票总额</t>
        </is>
      </c>
      <c r="B12" t="inlineStr">
        <is>
          <t>签字股票总额（一次性）</t>
        </is>
      </c>
      <c r="C12" t="inlineStr">
        <is>
          <t>200000</t>
        </is>
      </c>
    </row>
    <row r="13">
      <c r="A13" t="inlineStr">
        <is>
          <t>签字费总额</t>
        </is>
      </c>
      <c r="B13" t="inlineStr">
        <is>
          <t>签字费总额（一次性）</t>
        </is>
      </c>
      <c r="C13" t="inlineStr">
        <is>
          <t>100000</t>
        </is>
      </c>
    </row>
    <row r="14">
      <c r="A14" t="inlineStr">
        <is>
          <t>安家费</t>
        </is>
      </c>
      <c r="B14" t="inlineStr">
        <is>
          <t>搬迁/安家补贴（一次性）</t>
        </is>
      </c>
      <c r="C14" t="inlineStr">
        <is>
          <t>30000</t>
        </is>
      </c>
    </row>
    <row r="15">
      <c r="A15" t="inlineStr">
        <is>
          <t>现金收入</t>
        </is>
      </c>
      <c r="B15">
        <f>基本月薪×12+绩效×12+年终奖+津贴 [系统自动计算]</f>
        <v/>
      </c>
      <c r="C15" t="inlineStr"/>
    </row>
    <row r="16">
      <c r="A16" t="inlineStr">
        <is>
          <t>年收入</t>
        </is>
      </c>
      <c r="B16">
        <f>现金收入+入职授予年化 [系统自动计算]</f>
        <v/>
      </c>
      <c r="C16" t="inlineStr"/>
    </row>
    <row r="17">
      <c r="A17" t="inlineStr">
        <is>
          <t>年收入（含一次性）</t>
        </is>
      </c>
      <c r="B17">
        <f>年收入+签字股票/N+签字费/N+安家费/N [系统自动计算]</f>
        <v/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2026-04-27T06:33:36Z</dcterms:created>
  <dcterms:modified xsi:type="dcterms:W3CDTF">2026-04-27T06:33:36Z</dcterms:modified>
</cp:coreProperties>
</file>